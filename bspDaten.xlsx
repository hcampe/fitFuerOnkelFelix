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<sst xmlns="http://schemas.openxmlformats.org/spreadsheetml/2006/main" count="9" uniqueCount="9">
  <si>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X = strecke s / m</t>
  </si>
  <si>
    <t xml:space="preserve">Y = zeit t / s</t>
  </si>
  <si>
    <t xml:space="preserve">Regression</t>
  </si>
  <si>
    <t xml:space="preserve">Regression Model</t>
  </si>
  <si>
    <t xml:space="preserve">Linear</t>
  </si>
  <si>
    <t xml:space="preserve">R^2</t>
  </si>
  <si>
    <t xml:space="preserve">Standard Error</t>
  </si>
  <si>
    <t xml:space="preserve">Slope</t>
  </si>
  <si>
    <t xml:space="preserve">Intercept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</si>
</sst>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 = zeit t / s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Sheet1!$A$2:$A$16</c:f>
              <c:numCache>
                <c:formatCode>General</c:formatCode>
                <c:ptCount val="15"/>
                <c:pt idx="0">
                  <c:v>10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Sheet1!$B$2:$B$16</c:f>
              <c:numCache>
                <c:formatCode>General</c:formatCode>
                <c:ptCount val="15"/>
                <c:pt idx="0">
                  <c:v>0.8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>0.5</c:v>
                </c:pt>
                <c:pt idx="7">
                  <c:v>0.5</c:v>
                </c:pt>
                <c:pt idx="8">
                  <c:v>0.4</c:v>
                </c:pt>
                <c:pt idx="9">
                  <c:v>0.6</c:v>
                </c:pt>
                <c:pt idx="10">
                  <c:v>0.5</c:v>
                </c:pt>
                <c:pt idx="11">
                  <c:v>0.1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</c:numCache>
            </c:numRef>
          </c:yVal>
          <c:smooth val="0"/>
        </c:ser>
        <c:axId val="80632249"/>
        <c:axId val="14530487"/>
      </c:scatterChart>
      <c:valAx>
        <c:axId val="806322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lang="de-DE" sz="1000" spc="-1" strike="noStrike">
                <a:latin typeface="Arial"/>
              </a:defRPr>
            </a:pPr>
          </a:p>
        </c:txPr>
        <c:crossAx val="14530487"/>
        <c:crosses val="autoZero"/>
        <c:crossBetween val="midCat"/>
      </c:valAx>
      <c:valAx>
        <c:axId val="1453048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lang="de-DE" sz="1000" spc="-1" strike="noStrike">
                <a:latin typeface="Arial"/>
              </a:defRPr>
            </a:pPr>
          </a:p>
        </c:txPr>
        <c:crossAx val="80632249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lang="de-DE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542160</xdr:colOff>
      <xdr:row>6</xdr:row>
      <xdr:rowOff>111960</xdr:rowOff>
    </xdr:from>
    <xdr:to>
      <xdr:col>17</xdr:col>
      <xdr:colOff>614880</xdr:colOff>
      <xdr:row>26</xdr:row>
      <xdr:rowOff>91800</xdr:rowOff>
    </xdr:to>
    <xdr:graphicFrame>
      <xdr:nvGraphicFramePr>
        <xdr:cNvPr id="0" name=""/>
        <xdr:cNvGraphicFramePr/>
      </xdr:nvGraphicFramePr>
      <xdr:xfrm>
        <a:off x="8669880" y="1087200"/>
        <a:ext cx="5762520" cy="323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3" activeCellId="0" sqref="B3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10</v>
      </c>
      <c r="B2" s="0" t="n">
        <v>0.8</v>
      </c>
      <c r="I2" s="1" t="s">
        <v>2</v>
      </c>
    </row>
    <row r="4" customFormat="false" ht="12.8" hidden="false" customHeight="false" outlineLevel="0" collapsed="false">
      <c r="I4" s="0" t="s">
        <v>3</v>
      </c>
      <c r="J4" s="0" t="s">
        <v>4</v>
      </c>
    </row>
    <row r="5" customFormat="false" ht="12.8" hidden="false" customHeight="false" outlineLevel="0" collapsed="false">
      <c r="I5" s="0" t="s">
        <v>5</v>
      </c>
      <c r="J5" s="0" t="n">
        <f aca="false" t="array" ref="J5:J5">RSQ($B$2:$B$16 , $A$2:$A$16)</f>
        <v>0.82926441171122</v>
      </c>
    </row>
    <row r="6" customFormat="false" ht="12.8" hidden="false" customHeight="false" outlineLevel="0" collapsed="false">
      <c r="I6" s="0" t="s">
        <v>6</v>
      </c>
      <c r="J6" s="0" t="n">
        <f aca="false" t="array" ref="J6:J6">STEYX($B$2:$B$16 , $A$2:$A$16)</f>
        <v>0.0957650258233149</v>
      </c>
    </row>
    <row r="8" customFormat="false" ht="12.8" hidden="false" customHeight="false" outlineLevel="0" collapsed="false">
      <c r="A8" s="0" t="n">
        <v>5</v>
      </c>
      <c r="B8" s="0" t="n">
        <v>0.5</v>
      </c>
      <c r="I8" s="0" t="s">
        <v>7</v>
      </c>
      <c r="J8" s="0" t="n">
        <f aca="false" t="array" ref="J8:J8">SLOPE($B$2:$B$16 , $A$2:$A$16)</f>
        <v>0.0816239316239316</v>
      </c>
    </row>
    <row r="9" customFormat="false" ht="12.8" hidden="false" customHeight="false" outlineLevel="0" collapsed="false">
      <c r="A9" s="0" t="n">
        <v>5</v>
      </c>
      <c r="B9" s="0" t="n">
        <v>0.5</v>
      </c>
      <c r="I9" s="0" t="s">
        <v>8</v>
      </c>
      <c r="J9" s="0" t="n">
        <f aca="false" t="array" ref="J9:J9">INTERCEPT($B$2:$B$16 , $A$2:$A$16)</f>
        <v>0.0542735042735043</v>
      </c>
    </row>
    <row r="10" customFormat="false" ht="12.8" hidden="false" customHeight="false" outlineLevel="0" collapsed="false">
      <c r="A10" s="0" t="n">
        <v>5</v>
      </c>
      <c r="B10" s="0" t="n">
        <v>0.4</v>
      </c>
    </row>
    <row r="11" customFormat="false" ht="12.8" hidden="false" customHeight="false" outlineLevel="0" collapsed="false">
      <c r="A11" s="0" t="n">
        <v>5</v>
      </c>
      <c r="B11" s="0" t="n">
        <v>0.6</v>
      </c>
      <c r="I11" s="0" t="n">
        <f aca="false">INDEX($A$2:$A$16, 1, 1)</f>
        <v>10</v>
      </c>
      <c r="J11" s="0" t="n">
        <f aca="false">$J$8 * $I$11 + $J$9</f>
        <v>0.870512820512821</v>
      </c>
    </row>
    <row r="12" customFormat="false" ht="12.8" hidden="false" customHeight="false" outlineLevel="0" collapsed="false">
      <c r="A12" s="0" t="n">
        <v>5</v>
      </c>
      <c r="B12" s="0" t="n">
        <v>0.5</v>
      </c>
      <c r="I12" s="0" t="n">
        <f aca="false">INDEX($A$2:$A$16, 2, 1)</f>
        <v>0</v>
      </c>
      <c r="J12" s="0" t="n">
        <f aca="false">$J$8 * $I$12 + $J$9</f>
        <v>0.0542735042735043</v>
      </c>
    </row>
    <row r="13" customFormat="false" ht="12.8" hidden="false" customHeight="false" outlineLevel="0" collapsed="false">
      <c r="A13" s="0" t="n">
        <v>2</v>
      </c>
      <c r="B13" s="0" t="n">
        <v>0.1</v>
      </c>
      <c r="I13" s="0" t="n">
        <f aca="false">INDEX($A$2:$A$16, 3, 1)</f>
        <v>0</v>
      </c>
      <c r="J13" s="0" t="n">
        <f aca="false">$J$8 * $I$13 + $J$9</f>
        <v>0.0542735042735043</v>
      </c>
    </row>
    <row r="14" customFormat="false" ht="12.8" hidden="false" customHeight="false" outlineLevel="0" collapsed="false">
      <c r="I14" s="0" t="n">
        <f aca="false">INDEX($A$2:$A$16, 4, 1)</f>
        <v>0</v>
      </c>
      <c r="J14" s="0" t="n">
        <f aca="false">$J$8 * $I$14 + $J$9</f>
        <v>0.0542735042735043</v>
      </c>
    </row>
    <row r="15" customFormat="false" ht="12.8" hidden="false" customHeight="false" outlineLevel="0" collapsed="false">
      <c r="I15" s="0" t="n">
        <f aca="false">INDEX($A$2:$A$16, 5, 1)</f>
        <v>0</v>
      </c>
      <c r="J15" s="0" t="n">
        <f aca="false">$J$8 * $I$15 + $J$9</f>
        <v>0.0542735042735043</v>
      </c>
    </row>
    <row r="16" customFormat="false" ht="12.8" hidden="false" customHeight="false" outlineLevel="0" collapsed="false">
      <c r="I16" s="0" t="n">
        <f aca="false">INDEX($A$2:$A$16, 6, 1)</f>
        <v>0</v>
      </c>
      <c r="J16" s="0" t="n">
        <f aca="false">$J$8 * $I$16 + $J$9</f>
        <v>0.0542735042735043</v>
      </c>
    </row>
    <row r="17" customFormat="false" ht="12.8" hidden="false" customHeight="false" outlineLevel="0" collapsed="false">
      <c r="I17" s="0" t="n">
        <f aca="false">INDEX($A$2:$A$16, 7, 1)</f>
        <v>5</v>
      </c>
      <c r="J17" s="0" t="n">
        <f aca="false">$J$8 * $I$17 + $J$9</f>
        <v>0.462393162393162</v>
      </c>
    </row>
    <row r="18" customFormat="false" ht="12.8" hidden="false" customHeight="false" outlineLevel="0" collapsed="false">
      <c r="I18" s="0" t="n">
        <f aca="false">INDEX($A$2:$A$16, 8, 1)</f>
        <v>5</v>
      </c>
      <c r="J18" s="0" t="n">
        <f aca="false">$J$8 * $I$18 + $J$9</f>
        <v>0.462393162393162</v>
      </c>
    </row>
    <row r="19" customFormat="false" ht="12.8" hidden="false" customHeight="false" outlineLevel="0" collapsed="false">
      <c r="A19" s="0" t="n">
        <v>2</v>
      </c>
      <c r="B19" s="0" t="n">
        <v>0.2</v>
      </c>
      <c r="I19" s="0" t="n">
        <f aca="false">INDEX($A$2:$A$16, 9, 1)</f>
        <v>5</v>
      </c>
      <c r="J19" s="0" t="n">
        <f aca="false">$J$8 * $I$19 + $J$9</f>
        <v>0.462393162393162</v>
      </c>
    </row>
    <row r="20" customFormat="false" ht="12.8" hidden="false" customHeight="false" outlineLevel="0" collapsed="false">
      <c r="A20" s="0" t="n">
        <v>2</v>
      </c>
      <c r="B20" s="0" t="n">
        <v>0.2</v>
      </c>
      <c r="I20" s="0" t="n">
        <f aca="false">INDEX($A$2:$A$16, 10, 1)</f>
        <v>5</v>
      </c>
      <c r="J20" s="0" t="n">
        <f aca="false">$J$8 * $I$20 + $J$9</f>
        <v>0.462393162393162</v>
      </c>
    </row>
    <row r="21" customFormat="false" ht="12.8" hidden="false" customHeight="false" outlineLevel="0" collapsed="false">
      <c r="A21" s="0" t="n">
        <v>2</v>
      </c>
      <c r="B21" s="0" t="n">
        <v>0.3</v>
      </c>
      <c r="I21" s="0" t="n">
        <f aca="false">INDEX($A$2:$A$16, 11, 1)</f>
        <v>5</v>
      </c>
      <c r="J21" s="0" t="n">
        <f aca="false">$J$8 * $I$21 + $J$9</f>
        <v>0.462393162393162</v>
      </c>
    </row>
    <row r="22" customFormat="false" ht="12.8" hidden="false" customHeight="false" outlineLevel="0" collapsed="false">
      <c r="I22" s="0" t="n">
        <f aca="false">INDEX($A$2:$A$16, 12, 1)</f>
        <v>2</v>
      </c>
      <c r="J22" s="0" t="n">
        <f aca="false">$J$8 * $I$22 + $J$9</f>
        <v>0.217521367521367</v>
      </c>
    </row>
    <row r="23" customFormat="false" ht="12.8" hidden="false" customHeight="false" outlineLevel="0" collapsed="false">
      <c r="I23" s="0" t="n">
        <f aca="false">INDEX($A$2:$A$16, 13, 1)</f>
        <v>0</v>
      </c>
      <c r="J23" s="0" t="n">
        <f aca="false">$J$8 * $I$23 + $J$9</f>
        <v>0.0542735042735043</v>
      </c>
    </row>
    <row r="24" customFormat="false" ht="12.8" hidden="false" customHeight="false" outlineLevel="0" collapsed="false">
      <c r="I24" s="0" t="n">
        <f aca="false">INDEX($A$2:$A$16, 14, 1)</f>
        <v>0</v>
      </c>
      <c r="J24" s="0" t="n">
        <f aca="false">$J$8 * $I$24 + $J$9</f>
        <v>0.0542735042735043</v>
      </c>
    </row>
    <row r="25" customFormat="false" ht="12.8" hidden="false" customHeight="false" outlineLevel="0" collapsed="false">
      <c r="I25" s="0" t="n">
        <f aca="false">INDEX($A$2:$A$16, 15, 1)</f>
        <v>0</v>
      </c>
      <c r="J25" s="0" t="n">
        <f aca="false">$J$8 * $I$25 + $J$9</f>
        <v>0.0542735042735043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2022-03-02T16:08:11Z</dcterms:created>
  <dc:creator>Heinrich Campe</dc:creator>
  <dc:description/>
  <dc:language>en-US</dc:language>
  <cp:lastModifiedBy>Heinrich Campe</cp:lastModifiedBy>
  <dcterms:modified xsi:type="dcterms:W3CDTF">2022-03-02T16:59:23Z</dcterms:modified>
  <cp:revision>1</cp:revision>
  <dc:subject/>
  <dc:title/>
</cp:coreProperties>
</file>